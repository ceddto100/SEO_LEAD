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icheInputs" sheetId="1" state="visible" r:id="rId3"/>
    <sheet name="KeywordResearch" sheetId="2" state="visible" r:id="rId4"/>
    <sheet name="ContentGaps" sheetId="3" state="visible" r:id="rId5"/>
    <sheet name="ContentQueue" sheetId="4" state="visible" r:id="rId6"/>
    <sheet name="Instructions" sheetId="5" state="visible" r:id="rId7"/>
  </sheets>
  <definedNames>
    <definedName function="false" hidden="true" localSheetId="2" name="_xlnm._FilterDatabase" vbProcedure="false">ContentGaps!$A$1:$H$1</definedName>
    <definedName function="false" hidden="true" localSheetId="3" name="_xlnm._FilterDatabase" vbProcedure="false">ContentQueue!$A$1:$I$1</definedName>
    <definedName function="false" hidden="true" localSheetId="1" name="_xlnm._FilterDatabase" vbProcedure="false">KeywordResearch!$A$1:$I$1</definedName>
    <definedName function="false" hidden="true" localSheetId="0" name="_xlnm._FilterDatabase" vbProcedure="false">NicheInputs!$A$1:$G$1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<sst xmlns="http://schemas.openxmlformats.org/spreadsheetml/2006/main" count="241" uniqueCount="123">
  <si>
    <t xml:space="preserve">Niche / Topic</t>
  </si>
  <si>
    <t xml:space="preserve">Seed Keywords (comma-separated)</t>
  </si>
  <si>
    <t xml:space="preserve">Target Location</t>
  </si>
  <si>
    <t xml:space="preserve">Language</t>
  </si>
  <si>
    <t xml:space="preserve">Status</t>
  </si>
  <si>
    <t xml:space="preserve">Last Run</t>
  </si>
  <si>
    <t xml:space="preserve">Notes</t>
  </si>
  <si>
    <t xml:space="preserve">SaaS Marketing</t>
  </si>
  <si>
    <t xml:space="preserve">saas marketing strategy, saas seo, b2b saas growth, saas content marketing</t>
  </si>
  <si>
    <t xml:space="preserve">US (2840)</t>
  </si>
  <si>
    <t xml:space="preserve">en</t>
  </si>
  <si>
    <t xml:space="preserve">active</t>
  </si>
  <si>
    <t xml:space="preserve">Primary niche</t>
  </si>
  <si>
    <t xml:space="preserve">Marketing Automation</t>
  </si>
  <si>
    <t xml:space="preserve">marketing automation tools, email automation, lead nurturing software</t>
  </si>
  <si>
    <t xml:space="preserve">Secondary niche</t>
  </si>
  <si>
    <t xml:space="preserve">CRM Software</t>
  </si>
  <si>
    <t xml:space="preserve">best crm for small business, crm comparison, crm pricing, crm features</t>
  </si>
  <si>
    <t xml:space="preserve">High-intent keywords</t>
  </si>
  <si>
    <t xml:space="preserve">SEO Tools</t>
  </si>
  <si>
    <t xml:space="preserve">seo tools comparison, best seo software, keyword research tool, rank tracker</t>
  </si>
  <si>
    <t xml:space="preserve">paused</t>
  </si>
  <si>
    <t xml:space="preserve">Resume after Q2</t>
  </si>
  <si>
    <t xml:space="preserve">Landing Page Builders</t>
  </si>
  <si>
    <t xml:space="preserve">landing page builder, best landing page tools, landing page conversion</t>
  </si>
  <si>
    <t xml:space="preserve">Commercial intent focus</t>
  </si>
  <si>
    <t xml:space="preserve">Keyword</t>
  </si>
  <si>
    <t xml:space="preserve">Volume</t>
  </si>
  <si>
    <t xml:space="preserve">Competition</t>
  </si>
  <si>
    <t xml:space="preserve">CPC ($)</t>
  </si>
  <si>
    <t xml:space="preserve">Intent</t>
  </si>
  <si>
    <t xml:space="preserve">Opportunity Score</t>
  </si>
  <si>
    <t xml:space="preserve">Date Added</t>
  </si>
  <si>
    <t xml:space="preserve">Source Niche</t>
  </si>
  <si>
    <t xml:space="preserve">saas marketing strategy 2026</t>
  </si>
  <si>
    <t xml:space="preserve">medium</t>
  </si>
  <si>
    <t xml:space="preserve">informational</t>
  </si>
  <si>
    <t xml:space="preserve">2026-02-12</t>
  </si>
  <si>
    <t xml:space="preserve">new</t>
  </si>
  <si>
    <t xml:space="preserve">best saas seo tools</t>
  </si>
  <si>
    <t xml:space="preserve">low</t>
  </si>
  <si>
    <t xml:space="preserve">transactional</t>
  </si>
  <si>
    <t xml:space="preserve">how to grow saas organically</t>
  </si>
  <si>
    <t xml:space="preserve">b2b saas content marketing guide</t>
  </si>
  <si>
    <t xml:space="preserve">queued</t>
  </si>
  <si>
    <t xml:space="preserve">saas pricing page seo</t>
  </si>
  <si>
    <t xml:space="preserve">marketing automation vs crm</t>
  </si>
  <si>
    <t xml:space="preserve">best marketing automation for startups</t>
  </si>
  <si>
    <t xml:space="preserve">email automation best practices</t>
  </si>
  <si>
    <t xml:space="preserve">crm comparison chart 2026</t>
  </si>
  <si>
    <t xml:space="preserve">high</t>
  </si>
  <si>
    <t xml:space="preserve">best crm for small business free</t>
  </si>
  <si>
    <t xml:space="preserve">hubspot vs salesforce for startups</t>
  </si>
  <si>
    <t xml:space="preserve">what is a crm and why do you need one</t>
  </si>
  <si>
    <t xml:space="preserve">SUMMARY</t>
  </si>
  <si>
    <t xml:space="preserve">Total Keywords</t>
  </si>
  <si>
    <t xml:space="preserve">Avg Opportunity Score</t>
  </si>
  <si>
    <t xml:space="preserve">Avg CPC</t>
  </si>
  <si>
    <t xml:space="preserve">Total Search Volume</t>
  </si>
  <si>
    <t xml:space="preserve">Gap Topic</t>
  </si>
  <si>
    <t xml:space="preserve">Source Keyword</t>
  </si>
  <si>
    <t xml:space="preserve">Weak Competitor URL</t>
  </si>
  <si>
    <t xml:space="preserve">Weakness</t>
  </si>
  <si>
    <t xml:space="preserve">Format Opportunity</t>
  </si>
  <si>
    <t xml:space="preserve">Priority</t>
  </si>
  <si>
    <t xml:space="preserve">Date Found</t>
  </si>
  <si>
    <t xml:space="preserve">Action Taken</t>
  </si>
  <si>
    <t xml:space="preserve">SaaS onboarding SEO strategy</t>
  </si>
  <si>
    <t xml:space="preserve">https://competitor1.com/saas-marketing</t>
  </si>
  <si>
    <t xml:space="preserve">No mention of onboarding-specific SEO tactics</t>
  </si>
  <si>
    <t xml:space="preserve">Step-by-step guide with checklist</t>
  </si>
  <si>
    <t xml:space="preserve">none</t>
  </si>
  <si>
    <t xml:space="preserve">AI-powered SEO for SaaS</t>
  </si>
  <si>
    <t xml:space="preserve">https://competitor2.com/seo-tools-list</t>
  </si>
  <si>
    <t xml:space="preserve">Outdated tool list, no AI tools mentioned</t>
  </si>
  <si>
    <t xml:space="preserve">Comparison table + video walkthrough</t>
  </si>
  <si>
    <t xml:space="preserve">SaaS free trial conversion SEO</t>
  </si>
  <si>
    <t xml:space="preserve">https://competitor3.com/pricing-seo</t>
  </si>
  <si>
    <t xml:space="preserve">Only covers pricing pages, ignores trial funnels</t>
  </si>
  <si>
    <t xml:space="preserve">Case study format</t>
  </si>
  <si>
    <t xml:space="preserve">CRM selection framework for solopreneurs</t>
  </si>
  <si>
    <t xml:space="preserve">https://competitor4.com/crm-list</t>
  </si>
  <si>
    <t xml:space="preserve">Generic list, no decision framework</t>
  </si>
  <si>
    <t xml:space="preserve">Interactive quiz / decision tree</t>
  </si>
  <si>
    <t xml:space="preserve">content planned</t>
  </si>
  <si>
    <t xml:space="preserve">Marketing automation ROI calculator</t>
  </si>
  <si>
    <t xml:space="preserve">https://competitor5.com/ma-vs-crm</t>
  </si>
  <si>
    <t xml:space="preserve">No interactive tools or calculators</t>
  </si>
  <si>
    <t xml:space="preserve">Embeddable calculator tool</t>
  </si>
  <si>
    <t xml:space="preserve">Source Date</t>
  </si>
  <si>
    <t xml:space="preserve">Assigned To</t>
  </si>
  <si>
    <t xml:space="preserve">Target Publish Date</t>
  </si>
  <si>
    <t xml:space="preserve">Blog Post URL</t>
  </si>
  <si>
    <t xml:space="preserve">High volume, strong commercial intent</t>
  </si>
  <si>
    <t xml:space="preserve">Cornerstone content opportunity</t>
  </si>
  <si>
    <t xml:space="preserve">Product roundup format</t>
  </si>
  <si>
    <t xml:space="preserve">Top-of-funnel awareness piece</t>
  </si>
  <si>
    <t xml:space="preserve">Link to SaaS marketing guide</t>
  </si>
  <si>
    <t xml:space="preserve">in_progress</t>
  </si>
  <si>
    <t xml:space="preserve">Long-form guide (3000+ words)</t>
  </si>
  <si>
    <t xml:space="preserve">Comparison article</t>
  </si>
  <si>
    <t xml:space="preserve">Include real examples</t>
  </si>
  <si>
    <t xml:space="preserve">QUEUE SUMMARY</t>
  </si>
  <si>
    <t xml:space="preserve">Total Queued</t>
  </si>
  <si>
    <t xml:space="preserve">In Progress</t>
  </si>
  <si>
    <t xml:space="preserve">Published</t>
  </si>
  <si>
    <t xml:space="preserve">KEYWORD MARKET RESEARCH - GOOGLE SHEETS TEMPLATE</t>
  </si>
  <si>
    <t xml:space="preserve">HOW TO USE THIS TEMPLATE</t>
  </si>
  <si>
    <t xml:space="preserve">1. Copy this file to your Google Drive (File → Make a copy)</t>
  </si>
  <si>
    <t xml:space="preserve">2. Fill in the NicheInputs tab with your niches and seed keywords</t>
  </si>
  <si>
    <t xml:space="preserve">3. Set up the Make.com scenario using the Blueprint spreadsheet</t>
  </si>
  <si>
    <t xml:space="preserve">4. Point Make.com to this Google Sheet using the Sheet ID from the URL</t>
  </si>
  <si>
    <t xml:space="preserve">5. The automation will populate KeywordResearch, ContentGaps, and ContentQueue tabs</t>
  </si>
  <si>
    <t xml:space="preserve">TAB DESCRIPTIONS</t>
  </si>
  <si>
    <t xml:space="preserve">NicheInputs: Your input table. Add niches and seed keywords here. Set status to "active" for the automation to process them.</t>
  </si>
  <si>
    <t xml:space="preserve">KeywordResearch: Auto-populated by the Make.com scenario. Contains all discovered keywords with volume, competition, intent, and scores.</t>
  </si>
  <si>
    <t xml:space="preserve">ContentGaps: Auto-populated. Shows opportunities your competitors are missing.</t>
  </si>
  <si>
    <t xml:space="preserve">ContentQueue: Auto-populated with top opportunity keywords. Use this to track content production from queued → published.</t>
  </si>
  <si>
    <t xml:space="preserve">TIPS</t>
  </si>
  <si>
    <t xml:space="preserve">• Start with 3-5 seed keywords per niche for best results</t>
  </si>
  <si>
    <t xml:space="preserve">• Review the ContentQueue weekly and assign writers</t>
  </si>
  <si>
    <t xml:space="preserve">• Use filters (click arrow in header) to sort by score, intent, or status</t>
  </si>
  <si>
    <t xml:space="preserve">• The ContentQueue feeds into Workflow 02 (Content Strategy &amp; Blog Planning)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</si>
</sst>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.0"/>
    <numFmt numFmtId="167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sz val="10"/>
      <color rgb="FFBF8F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1F4E7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5"/>
    <col collapsed="false" customWidth="true" hidden="false" outlineLevel="0" max="3" min="3" style="0" width="18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3.85" hidden="false" customHeight="false" outlineLevel="0" collapsed="false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/>
      <c r="G2" s="3" t="s">
        <v>12</v>
      </c>
    </row>
    <row r="3" customFormat="false" ht="23.85" hidden="false" customHeight="false" outlineLevel="0" collapsed="false">
      <c r="A3" s="2" t="s">
        <v>13</v>
      </c>
      <c r="B3" s="3" t="s">
        <v>14</v>
      </c>
      <c r="C3" s="3" t="s">
        <v>9</v>
      </c>
      <c r="D3" s="3" t="s">
        <v>10</v>
      </c>
      <c r="E3" s="3" t="s">
        <v>11</v>
      </c>
      <c r="F3" s="3"/>
      <c r="G3" s="3" t="s">
        <v>15</v>
      </c>
    </row>
    <row r="4" customFormat="false" ht="23.85" hidden="false" customHeight="false" outlineLevel="0" collapsed="false">
      <c r="A4" s="2" t="s">
        <v>16</v>
      </c>
      <c r="B4" s="3" t="s">
        <v>17</v>
      </c>
      <c r="C4" s="3" t="s">
        <v>9</v>
      </c>
      <c r="D4" s="3" t="s">
        <v>10</v>
      </c>
      <c r="E4" s="3" t="s">
        <v>11</v>
      </c>
      <c r="F4" s="3"/>
      <c r="G4" s="3" t="s">
        <v>18</v>
      </c>
    </row>
    <row r="5" customFormat="false" ht="23.85" hidden="false" customHeight="false" outlineLevel="0" collapsed="false">
      <c r="A5" s="2" t="s">
        <v>19</v>
      </c>
      <c r="B5" s="3" t="s">
        <v>20</v>
      </c>
      <c r="C5" s="3" t="s">
        <v>9</v>
      </c>
      <c r="D5" s="3" t="s">
        <v>10</v>
      </c>
      <c r="E5" s="3" t="s">
        <v>21</v>
      </c>
      <c r="F5" s="3"/>
      <c r="G5" s="3" t="s">
        <v>22</v>
      </c>
    </row>
    <row r="6" customFormat="false" ht="23.85" hidden="false" customHeight="false" outlineLevel="0" collapsed="false">
      <c r="A6" s="2" t="s">
        <v>23</v>
      </c>
      <c r="B6" s="3" t="s">
        <v>24</v>
      </c>
      <c r="C6" s="3" t="s">
        <v>9</v>
      </c>
      <c r="D6" s="3" t="s">
        <v>10</v>
      </c>
      <c r="E6" s="3" t="s">
        <v>11</v>
      </c>
      <c r="F6" s="3"/>
      <c r="G6" s="3" t="s">
        <v>25</v>
      </c>
    </row>
  </sheetData>
  <autoFilter ref="A1:G1"/>
  <dataValidations count="1">
    <dataValidation allowBlank="true" error="Please select: active, paused, or completed" errorStyle="stop" operator="between" showDropDown="false" showErrorMessage="false" showInputMessage="false" sqref="E2:E26" type="list">
      <formula1>"active,paused,completed"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6" min="5" style="0" width="16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9" min="9" style="0" width="12"/>
  </cols>
  <sheetData>
    <row r="1" customFormat="false" ht="23.85" hidden="false" customHeight="false" outlineLevel="0" collapsed="false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4</v>
      </c>
    </row>
    <row r="2" customFormat="false" ht="15" hidden="false" customHeight="false" outlineLevel="0" collapsed="false">
      <c r="A2" s="2" t="s">
        <v>34</v>
      </c>
      <c r="B2" s="3" t="n">
        <v>4400</v>
      </c>
      <c r="C2" s="3" t="s">
        <v>35</v>
      </c>
      <c r="D2" s="4" t="n">
        <v>5.8</v>
      </c>
      <c r="E2" s="3" t="s">
        <v>36</v>
      </c>
      <c r="F2" s="5" t="n">
        <v>9</v>
      </c>
      <c r="G2" s="3" t="s">
        <v>37</v>
      </c>
      <c r="H2" s="3" t="s">
        <v>7</v>
      </c>
      <c r="I2" s="3" t="s">
        <v>38</v>
      </c>
    </row>
    <row r="3" customFormat="false" ht="15" hidden="false" customHeight="false" outlineLevel="0" collapsed="false">
      <c r="A3" s="2" t="s">
        <v>39</v>
      </c>
      <c r="B3" s="3" t="n">
        <v>2900</v>
      </c>
      <c r="C3" s="3" t="s">
        <v>40</v>
      </c>
      <c r="D3" s="4" t="n">
        <v>7.2</v>
      </c>
      <c r="E3" s="3" t="s">
        <v>41</v>
      </c>
      <c r="F3" s="5" t="n">
        <v>9</v>
      </c>
      <c r="G3" s="3" t="s">
        <v>37</v>
      </c>
      <c r="H3" s="3" t="s">
        <v>7</v>
      </c>
      <c r="I3" s="3" t="s">
        <v>38</v>
      </c>
    </row>
    <row r="4" customFormat="false" ht="15" hidden="false" customHeight="false" outlineLevel="0" collapsed="false">
      <c r="A4" s="2" t="s">
        <v>42</v>
      </c>
      <c r="B4" s="3" t="n">
        <v>1600</v>
      </c>
      <c r="C4" s="3" t="s">
        <v>40</v>
      </c>
      <c r="D4" s="4" t="n">
        <v>3.4</v>
      </c>
      <c r="E4" s="3" t="s">
        <v>36</v>
      </c>
      <c r="F4" s="5" t="n">
        <v>8</v>
      </c>
      <c r="G4" s="3" t="s">
        <v>37</v>
      </c>
      <c r="H4" s="3" t="s">
        <v>7</v>
      </c>
      <c r="I4" s="3" t="s">
        <v>38</v>
      </c>
    </row>
    <row r="5" customFormat="false" ht="15" hidden="false" customHeight="false" outlineLevel="0" collapsed="false">
      <c r="A5" s="2" t="s">
        <v>43</v>
      </c>
      <c r="B5" s="3" t="n">
        <v>1100</v>
      </c>
      <c r="C5" s="3" t="s">
        <v>40</v>
      </c>
      <c r="D5" s="4" t="n">
        <v>4.9</v>
      </c>
      <c r="E5" s="3" t="s">
        <v>36</v>
      </c>
      <c r="F5" s="5" t="n">
        <v>8</v>
      </c>
      <c r="G5" s="3" t="s">
        <v>37</v>
      </c>
      <c r="H5" s="3" t="s">
        <v>7</v>
      </c>
      <c r="I5" s="3" t="s">
        <v>44</v>
      </c>
    </row>
    <row r="6" customFormat="false" ht="15" hidden="false" customHeight="false" outlineLevel="0" collapsed="false">
      <c r="A6" s="2" t="s">
        <v>45</v>
      </c>
      <c r="B6" s="3" t="n">
        <v>880</v>
      </c>
      <c r="C6" s="3" t="s">
        <v>40</v>
      </c>
      <c r="D6" s="4" t="n">
        <v>6.1</v>
      </c>
      <c r="E6" s="3" t="s">
        <v>41</v>
      </c>
      <c r="F6" s="5" t="n">
        <v>8</v>
      </c>
      <c r="G6" s="3" t="s">
        <v>37</v>
      </c>
      <c r="H6" s="3" t="s">
        <v>7</v>
      </c>
      <c r="I6" s="3" t="s">
        <v>38</v>
      </c>
    </row>
    <row r="7" customFormat="false" ht="15" hidden="false" customHeight="false" outlineLevel="0" collapsed="false">
      <c r="A7" s="2" t="s">
        <v>46</v>
      </c>
      <c r="B7" s="3" t="n">
        <v>3200</v>
      </c>
      <c r="C7" s="3" t="s">
        <v>35</v>
      </c>
      <c r="D7" s="4" t="n">
        <v>8.5</v>
      </c>
      <c r="E7" s="3" t="s">
        <v>36</v>
      </c>
      <c r="F7" s="6" t="n">
        <v>7</v>
      </c>
      <c r="G7" s="3" t="s">
        <v>37</v>
      </c>
      <c r="H7" s="3" t="s">
        <v>13</v>
      </c>
      <c r="I7" s="3" t="s">
        <v>38</v>
      </c>
    </row>
    <row r="8" customFormat="false" ht="15" hidden="false" customHeight="false" outlineLevel="0" collapsed="false">
      <c r="A8" s="2" t="s">
        <v>47</v>
      </c>
      <c r="B8" s="3" t="n">
        <v>1900</v>
      </c>
      <c r="C8" s="3" t="s">
        <v>40</v>
      </c>
      <c r="D8" s="4" t="n">
        <v>9.3</v>
      </c>
      <c r="E8" s="3" t="s">
        <v>41</v>
      </c>
      <c r="F8" s="5" t="n">
        <v>8</v>
      </c>
      <c r="G8" s="3" t="s">
        <v>37</v>
      </c>
      <c r="H8" s="3" t="s">
        <v>13</v>
      </c>
      <c r="I8" s="3" t="s">
        <v>44</v>
      </c>
    </row>
    <row r="9" customFormat="false" ht="15" hidden="false" customHeight="false" outlineLevel="0" collapsed="false">
      <c r="A9" s="2" t="s">
        <v>48</v>
      </c>
      <c r="B9" s="3" t="n">
        <v>2600</v>
      </c>
      <c r="C9" s="3" t="s">
        <v>35</v>
      </c>
      <c r="D9" s="4" t="n">
        <v>4.2</v>
      </c>
      <c r="E9" s="3" t="s">
        <v>36</v>
      </c>
      <c r="F9" s="6" t="n">
        <v>7</v>
      </c>
      <c r="G9" s="3" t="s">
        <v>37</v>
      </c>
      <c r="H9" s="3" t="s">
        <v>13</v>
      </c>
      <c r="I9" s="3" t="s">
        <v>38</v>
      </c>
    </row>
    <row r="10" customFormat="false" ht="15" hidden="false" customHeight="false" outlineLevel="0" collapsed="false">
      <c r="A10" s="2" t="s">
        <v>49</v>
      </c>
      <c r="B10" s="3" t="n">
        <v>5400</v>
      </c>
      <c r="C10" s="3" t="s">
        <v>50</v>
      </c>
      <c r="D10" s="4" t="n">
        <v>12.4</v>
      </c>
      <c r="E10" s="3" t="s">
        <v>41</v>
      </c>
      <c r="F10" s="6" t="n">
        <v>7</v>
      </c>
      <c r="G10" s="3" t="s">
        <v>37</v>
      </c>
      <c r="H10" s="3" t="s">
        <v>16</v>
      </c>
      <c r="I10" s="3" t="s">
        <v>38</v>
      </c>
    </row>
    <row r="11" customFormat="false" ht="15" hidden="false" customHeight="false" outlineLevel="0" collapsed="false">
      <c r="A11" s="2" t="s">
        <v>51</v>
      </c>
      <c r="B11" s="3" t="n">
        <v>8100</v>
      </c>
      <c r="C11" s="3" t="s">
        <v>35</v>
      </c>
      <c r="D11" s="4" t="n">
        <v>6.8</v>
      </c>
      <c r="E11" s="3" t="s">
        <v>41</v>
      </c>
      <c r="F11" s="5" t="n">
        <v>9</v>
      </c>
      <c r="G11" s="3" t="s">
        <v>37</v>
      </c>
      <c r="H11" s="3" t="s">
        <v>16</v>
      </c>
      <c r="I11" s="3" t="s">
        <v>44</v>
      </c>
    </row>
    <row r="12" customFormat="false" ht="15" hidden="false" customHeight="false" outlineLevel="0" collapsed="false">
      <c r="A12" s="2" t="s">
        <v>52</v>
      </c>
      <c r="B12" s="3" t="n">
        <v>3600</v>
      </c>
      <c r="C12" s="3" t="s">
        <v>35</v>
      </c>
      <c r="D12" s="4" t="n">
        <v>11.2</v>
      </c>
      <c r="E12" s="3" t="s">
        <v>41</v>
      </c>
      <c r="F12" s="6" t="n">
        <v>7</v>
      </c>
      <c r="G12" s="3" t="s">
        <v>37</v>
      </c>
      <c r="H12" s="3" t="s">
        <v>16</v>
      </c>
      <c r="I12" s="3" t="s">
        <v>38</v>
      </c>
    </row>
    <row r="13" customFormat="false" ht="15" hidden="false" customHeight="false" outlineLevel="0" collapsed="false">
      <c r="A13" s="2" t="s">
        <v>53</v>
      </c>
      <c r="B13" s="3" t="n">
        <v>6600</v>
      </c>
      <c r="C13" s="3" t="s">
        <v>40</v>
      </c>
      <c r="D13" s="4" t="n">
        <v>2.9</v>
      </c>
      <c r="E13" s="3" t="s">
        <v>36</v>
      </c>
      <c r="F13" s="5" t="n">
        <v>8</v>
      </c>
      <c r="G13" s="3" t="s">
        <v>37</v>
      </c>
      <c r="H13" s="3" t="s">
        <v>16</v>
      </c>
      <c r="I13" s="3" t="s">
        <v>38</v>
      </c>
    </row>
    <row r="15" customFormat="false" ht="15" hidden="false" customHeight="false" outlineLevel="0" collapsed="false">
      <c r="A15" s="7" t="s">
        <v>54</v>
      </c>
    </row>
    <row r="16" customFormat="false" ht="15" hidden="false" customHeight="false" outlineLevel="0" collapsed="false">
      <c r="A16" s="8" t="s">
        <v>55</v>
      </c>
      <c r="B16" s="7" t="n">
        <f aca="false">COUNTA(A2:A13)</f>
        <v>12</v>
      </c>
    </row>
    <row r="17" customFormat="false" ht="15" hidden="false" customHeight="false" outlineLevel="0" collapsed="false">
      <c r="A17" s="8" t="s">
        <v>56</v>
      </c>
      <c r="B17" s="9" t="n">
        <f aca="false">AVERAGE(F2:F13)</f>
        <v>7.91666666666667</v>
      </c>
    </row>
    <row r="18" customFormat="false" ht="15" hidden="false" customHeight="false" outlineLevel="0" collapsed="false">
      <c r="A18" s="8" t="s">
        <v>57</v>
      </c>
      <c r="B18" s="10" t="n">
        <f aca="false">AVERAGE(D2:D13)</f>
        <v>6.89166666666667</v>
      </c>
    </row>
    <row r="19" customFormat="false" ht="15" hidden="false" customHeight="false" outlineLevel="0" collapsed="false">
      <c r="A19" s="8" t="s">
        <v>58</v>
      </c>
      <c r="B19" s="11" t="n">
        <f aca="false">SUM(B2:B13)</f>
        <v>42280</v>
      </c>
    </row>
  </sheetData>
  <autoFilter ref="A1:I1"/>
  <dataValidations count="2">
    <dataValidation allowBlank="true" errorStyle="stop" operator="between" showDropDown="false" showErrorMessage="false" showInputMessage="false" sqref="E2:E513" type="list">
      <formula1>"informational,transactional,navigational"</formula1>
      <formula2>0</formula2>
    </dataValidation>
    <dataValidation allowBlank="true" errorStyle="stop" operator="between" showDropDown="false" showErrorMessage="false" showInputMessage="false" sqref="I2:I513" type="list">
      <formula1>"new,queued,written,published,archived"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25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20"/>
  </cols>
  <sheetData>
    <row r="1" customFormat="false" ht="15" hidden="false" customHeight="false" outlineLevel="0" collapsed="false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</row>
    <row r="2" customFormat="false" ht="23.85" hidden="false" customHeight="false" outlineLevel="0" collapsed="false">
      <c r="A2" s="2" t="s">
        <v>67</v>
      </c>
      <c r="B2" s="3" t="s">
        <v>34</v>
      </c>
      <c r="C2" s="3" t="s">
        <v>68</v>
      </c>
      <c r="D2" s="3" t="s">
        <v>69</v>
      </c>
      <c r="E2" s="3" t="s">
        <v>70</v>
      </c>
      <c r="F2" s="12" t="s">
        <v>50</v>
      </c>
      <c r="G2" s="3" t="s">
        <v>37</v>
      </c>
      <c r="H2" s="3" t="s">
        <v>71</v>
      </c>
    </row>
    <row r="3" customFormat="false" ht="23.85" hidden="false" customHeight="false" outlineLevel="0" collapsed="false">
      <c r="A3" s="2" t="s">
        <v>72</v>
      </c>
      <c r="B3" s="3" t="s">
        <v>39</v>
      </c>
      <c r="C3" s="3" t="s">
        <v>73</v>
      </c>
      <c r="D3" s="3" t="s">
        <v>74</v>
      </c>
      <c r="E3" s="3" t="s">
        <v>75</v>
      </c>
      <c r="F3" s="12" t="s">
        <v>50</v>
      </c>
      <c r="G3" s="3" t="s">
        <v>37</v>
      </c>
      <c r="H3" s="3" t="s">
        <v>71</v>
      </c>
    </row>
    <row r="4" customFormat="false" ht="23.85" hidden="false" customHeight="false" outlineLevel="0" collapsed="false">
      <c r="A4" s="2" t="s">
        <v>76</v>
      </c>
      <c r="B4" s="3" t="s">
        <v>45</v>
      </c>
      <c r="C4" s="3" t="s">
        <v>77</v>
      </c>
      <c r="D4" s="3" t="s">
        <v>78</v>
      </c>
      <c r="E4" s="3" t="s">
        <v>79</v>
      </c>
      <c r="F4" s="13" t="s">
        <v>35</v>
      </c>
      <c r="G4" s="3" t="s">
        <v>37</v>
      </c>
      <c r="H4" s="3" t="s">
        <v>71</v>
      </c>
    </row>
    <row r="5" customFormat="false" ht="23.85" hidden="false" customHeight="false" outlineLevel="0" collapsed="false">
      <c r="A5" s="2" t="s">
        <v>80</v>
      </c>
      <c r="B5" s="3" t="s">
        <v>51</v>
      </c>
      <c r="C5" s="3" t="s">
        <v>81</v>
      </c>
      <c r="D5" s="3" t="s">
        <v>82</v>
      </c>
      <c r="E5" s="3" t="s">
        <v>83</v>
      </c>
      <c r="F5" s="12" t="s">
        <v>50</v>
      </c>
      <c r="G5" s="3" t="s">
        <v>37</v>
      </c>
      <c r="H5" s="3" t="s">
        <v>84</v>
      </c>
    </row>
    <row r="6" customFormat="false" ht="23.85" hidden="false" customHeight="false" outlineLevel="0" collapsed="false">
      <c r="A6" s="2" t="s">
        <v>85</v>
      </c>
      <c r="B6" s="3" t="s">
        <v>46</v>
      </c>
      <c r="C6" s="3" t="s">
        <v>86</v>
      </c>
      <c r="D6" s="3" t="s">
        <v>87</v>
      </c>
      <c r="E6" s="3" t="s">
        <v>88</v>
      </c>
      <c r="F6" s="13" t="s">
        <v>35</v>
      </c>
      <c r="G6" s="3" t="s">
        <v>37</v>
      </c>
      <c r="H6" s="3" t="s">
        <v>71</v>
      </c>
    </row>
  </sheetData>
  <autoFilter ref="A1:H1"/>
  <dataValidations count="2">
    <dataValidation allowBlank="true" errorStyle="stop" operator="between" showDropDown="false" showErrorMessage="false" showInputMessage="false" sqref="F2:F106" type="list">
      <formula1>"high,medium,low"</formula1>
      <formula2>0</formula2>
    </dataValidation>
    <dataValidation allowBlank="true" errorStyle="stop" operator="between" showDropDown="false" showErrorMessage="false" showInputMessage="false" sqref="H2:H106" type="list">
      <formula1>"none,content planned,content written,published"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16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35"/>
    <col collapsed="false" customWidth="true" hidden="false" outlineLevel="0" max="9" min="9" style="0" width="25"/>
  </cols>
  <sheetData>
    <row r="1" customFormat="false" ht="23.85" hidden="false" customHeight="false" outlineLevel="0" collapsed="false">
      <c r="A1" s="1" t="s">
        <v>26</v>
      </c>
      <c r="B1" s="1" t="s">
        <v>30</v>
      </c>
      <c r="C1" s="1" t="s">
        <v>31</v>
      </c>
      <c r="D1" s="1" t="s">
        <v>4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6</v>
      </c>
    </row>
    <row r="2" customFormat="false" ht="23.85" hidden="false" customHeight="false" outlineLevel="0" collapsed="false">
      <c r="A2" s="2" t="s">
        <v>51</v>
      </c>
      <c r="B2" s="3" t="s">
        <v>41</v>
      </c>
      <c r="C2" s="5" t="n">
        <v>9</v>
      </c>
      <c r="D2" s="3" t="s">
        <v>44</v>
      </c>
      <c r="E2" s="3" t="s">
        <v>37</v>
      </c>
      <c r="F2" s="3"/>
      <c r="G2" s="3"/>
      <c r="H2" s="3"/>
      <c r="I2" s="3" t="s">
        <v>93</v>
      </c>
    </row>
    <row r="3" customFormat="false" ht="23.85" hidden="false" customHeight="false" outlineLevel="0" collapsed="false">
      <c r="A3" s="2" t="s">
        <v>34</v>
      </c>
      <c r="B3" s="3" t="s">
        <v>36</v>
      </c>
      <c r="C3" s="5" t="n">
        <v>9</v>
      </c>
      <c r="D3" s="3" t="s">
        <v>44</v>
      </c>
      <c r="E3" s="3" t="s">
        <v>37</v>
      </c>
      <c r="F3" s="3"/>
      <c r="G3" s="3"/>
      <c r="H3" s="3"/>
      <c r="I3" s="3" t="s">
        <v>94</v>
      </c>
    </row>
    <row r="4" customFormat="false" ht="15" hidden="false" customHeight="false" outlineLevel="0" collapsed="false">
      <c r="A4" s="2" t="s">
        <v>39</v>
      </c>
      <c r="B4" s="3" t="s">
        <v>41</v>
      </c>
      <c r="C4" s="5" t="n">
        <v>9</v>
      </c>
      <c r="D4" s="3" t="s">
        <v>44</v>
      </c>
      <c r="E4" s="3" t="s">
        <v>37</v>
      </c>
      <c r="F4" s="3"/>
      <c r="G4" s="3"/>
      <c r="H4" s="3"/>
      <c r="I4" s="3" t="s">
        <v>95</v>
      </c>
    </row>
    <row r="5" customFormat="false" ht="23.85" hidden="false" customHeight="false" outlineLevel="0" collapsed="false">
      <c r="A5" s="2" t="s">
        <v>53</v>
      </c>
      <c r="B5" s="3" t="s">
        <v>36</v>
      </c>
      <c r="C5" s="5" t="n">
        <v>8</v>
      </c>
      <c r="D5" s="3" t="s">
        <v>44</v>
      </c>
      <c r="E5" s="3" t="s">
        <v>37</v>
      </c>
      <c r="F5" s="3"/>
      <c r="G5" s="3"/>
      <c r="H5" s="3"/>
      <c r="I5" s="3" t="s">
        <v>96</v>
      </c>
    </row>
    <row r="6" customFormat="false" ht="15" hidden="false" customHeight="false" outlineLevel="0" collapsed="false">
      <c r="A6" s="2" t="s">
        <v>42</v>
      </c>
      <c r="B6" s="3" t="s">
        <v>36</v>
      </c>
      <c r="C6" s="5" t="n">
        <v>8</v>
      </c>
      <c r="D6" s="3" t="s">
        <v>44</v>
      </c>
      <c r="E6" s="3" t="s">
        <v>37</v>
      </c>
      <c r="F6" s="3"/>
      <c r="G6" s="3"/>
      <c r="H6" s="3"/>
      <c r="I6" s="3" t="s">
        <v>97</v>
      </c>
    </row>
    <row r="7" customFormat="false" ht="23.85" hidden="false" customHeight="false" outlineLevel="0" collapsed="false">
      <c r="A7" s="2" t="s">
        <v>43</v>
      </c>
      <c r="B7" s="3" t="s">
        <v>36</v>
      </c>
      <c r="C7" s="5" t="n">
        <v>8</v>
      </c>
      <c r="D7" s="3" t="s">
        <v>98</v>
      </c>
      <c r="E7" s="3" t="s">
        <v>37</v>
      </c>
      <c r="F7" s="3"/>
      <c r="G7" s="3"/>
      <c r="H7" s="3"/>
      <c r="I7" s="3" t="s">
        <v>99</v>
      </c>
    </row>
    <row r="8" customFormat="false" ht="15" hidden="false" customHeight="false" outlineLevel="0" collapsed="false">
      <c r="A8" s="2" t="s">
        <v>47</v>
      </c>
      <c r="B8" s="3" t="s">
        <v>41</v>
      </c>
      <c r="C8" s="5" t="n">
        <v>8</v>
      </c>
      <c r="D8" s="3" t="s">
        <v>44</v>
      </c>
      <c r="E8" s="3" t="s">
        <v>37</v>
      </c>
      <c r="F8" s="3"/>
      <c r="G8" s="3"/>
      <c r="H8" s="3"/>
      <c r="I8" s="3" t="s">
        <v>100</v>
      </c>
    </row>
    <row r="9" customFormat="false" ht="15" hidden="false" customHeight="false" outlineLevel="0" collapsed="false">
      <c r="A9" s="2" t="s">
        <v>45</v>
      </c>
      <c r="B9" s="3" t="s">
        <v>41</v>
      </c>
      <c r="C9" s="5" t="n">
        <v>8</v>
      </c>
      <c r="D9" s="3" t="s">
        <v>44</v>
      </c>
      <c r="E9" s="3" t="s">
        <v>37</v>
      </c>
      <c r="F9" s="3"/>
      <c r="G9" s="3"/>
      <c r="H9" s="3"/>
      <c r="I9" s="3" t="s">
        <v>101</v>
      </c>
    </row>
    <row r="11" customFormat="false" ht="15" hidden="false" customHeight="false" outlineLevel="0" collapsed="false">
      <c r="A11" s="14" t="s">
        <v>102</v>
      </c>
    </row>
    <row r="12" customFormat="false" ht="15" hidden="false" customHeight="false" outlineLevel="0" collapsed="false">
      <c r="A12" s="15" t="s">
        <v>103</v>
      </c>
      <c r="B12" s="14" t="n">
        <f aca="false">COUNTIF(D2:D9,"queued")</f>
        <v>7</v>
      </c>
    </row>
    <row r="13" customFormat="false" ht="15" hidden="false" customHeight="false" outlineLevel="0" collapsed="false">
      <c r="A13" s="15" t="s">
        <v>104</v>
      </c>
      <c r="B13" s="14" t="n">
        <f aca="false">COUNTIF(D2:D9,"in_progress")</f>
        <v>1</v>
      </c>
    </row>
    <row r="14" customFormat="false" ht="15" hidden="false" customHeight="false" outlineLevel="0" collapsed="false">
      <c r="A14" s="15" t="s">
        <v>105</v>
      </c>
      <c r="B14" s="14" t="n">
        <f aca="false">COUNTIF(D2:D9,"published")</f>
        <v>0</v>
      </c>
    </row>
  </sheetData>
  <autoFilter ref="A1:I1"/>
  <dataValidations count="1">
    <dataValidation allowBlank="true" errorStyle="stop" operator="between" showDropDown="false" showErrorMessage="false" showInputMessage="false" sqref="D2:D209" type="list">
      <formula1>"queued,in_progress,draft_ready,published,cancelled"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0"/>
  </cols>
  <sheetData>
    <row r="1" customFormat="false" ht="17.35" hidden="false" customHeight="false" outlineLevel="0" collapsed="false">
      <c r="A1" s="16" t="s">
        <v>106</v>
      </c>
    </row>
    <row r="2" customFormat="false" ht="15" hidden="false" customHeight="false" outlineLevel="0" collapsed="false">
      <c r="A2" s="15"/>
    </row>
    <row r="3" customFormat="false" ht="15" hidden="false" customHeight="false" outlineLevel="0" collapsed="false">
      <c r="A3" s="17" t="s">
        <v>107</v>
      </c>
    </row>
    <row r="4" customFormat="false" ht="15" hidden="false" customHeight="false" outlineLevel="0" collapsed="false">
      <c r="A4" s="15" t="s">
        <v>108</v>
      </c>
    </row>
    <row r="5" customFormat="false" ht="15" hidden="false" customHeight="false" outlineLevel="0" collapsed="false">
      <c r="A5" s="15" t="s">
        <v>109</v>
      </c>
    </row>
    <row r="6" customFormat="false" ht="15" hidden="false" customHeight="false" outlineLevel="0" collapsed="false">
      <c r="A6" s="15" t="s">
        <v>110</v>
      </c>
    </row>
    <row r="7" customFormat="false" ht="15" hidden="false" customHeight="false" outlineLevel="0" collapsed="false">
      <c r="A7" s="15" t="s">
        <v>111</v>
      </c>
    </row>
    <row r="8" customFormat="false" ht="15" hidden="false" customHeight="false" outlineLevel="0" collapsed="false">
      <c r="A8" s="15" t="s">
        <v>112</v>
      </c>
    </row>
    <row r="9" customFormat="false" ht="15" hidden="false" customHeight="false" outlineLevel="0" collapsed="false">
      <c r="A9" s="15"/>
    </row>
    <row r="10" customFormat="false" ht="15" hidden="false" customHeight="false" outlineLevel="0" collapsed="false">
      <c r="A10" s="17" t="s">
        <v>113</v>
      </c>
    </row>
    <row r="11" customFormat="false" ht="15" hidden="false" customHeight="false" outlineLevel="0" collapsed="false">
      <c r="A11" s="15" t="s">
        <v>114</v>
      </c>
    </row>
    <row r="12" customFormat="false" ht="15" hidden="false" customHeight="false" outlineLevel="0" collapsed="false">
      <c r="A12" s="15" t="s">
        <v>115</v>
      </c>
    </row>
    <row r="13" customFormat="false" ht="15" hidden="false" customHeight="false" outlineLevel="0" collapsed="false">
      <c r="A13" s="15" t="s">
        <v>116</v>
      </c>
    </row>
    <row r="14" customFormat="false" ht="15" hidden="false" customHeight="false" outlineLevel="0" collapsed="false">
      <c r="A14" s="15" t="s">
        <v>117</v>
      </c>
    </row>
    <row r="15" customFormat="false" ht="15" hidden="false" customHeight="false" outlineLevel="0" collapsed="false">
      <c r="A15" s="15"/>
    </row>
    <row r="16" customFormat="false" ht="15" hidden="false" customHeight="false" outlineLevel="0" collapsed="false">
      <c r="A16" s="17" t="s">
        <v>118</v>
      </c>
    </row>
    <row r="17" customFormat="false" ht="15" hidden="false" customHeight="false" outlineLevel="0" collapsed="false">
      <c r="A17" s="15" t="s">
        <v>119</v>
      </c>
    </row>
    <row r="18" customFormat="false" ht="15" hidden="false" customHeight="false" outlineLevel="0" collapsed="false">
      <c r="A18" s="15" t="s">
        <v>120</v>
      </c>
    </row>
    <row r="19" customFormat="false" ht="15" hidden="false" customHeight="false" outlineLevel="0" collapsed="false">
      <c r="A19" s="15" t="s">
        <v>121</v>
      </c>
    </row>
    <row r="20" customFormat="false" ht="15" hidden="false" customHeight="false" outlineLevel="0" collapsed="false">
      <c r="A20" s="15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2026-02-12T13:34:32Z</dcterms:created>
  <dc:creator>openpyxl</dc:creator>
  <dc:description/>
  <dc:language>en-US</dc:language>
  <cp:lastModifiedBy/>
  <dcterms:modified xsi:type="dcterms:W3CDTF">2026-02-12T13:34:32Z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